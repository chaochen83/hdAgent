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\\192.168.0.5\产品建设\内部产品研发文件\MaTouch系列\MaTouch_AI 2.8“ SPI TFT ST7789V\"/>
    </mc:Choice>
  </mc:AlternateContent>
  <xr:revisionPtr revIDLastSave="0" documentId="13_ncr:1_{4B1FEB78-E19F-4141-80FA-8852F0569AA4}" xr6:coauthVersionLast="47" xr6:coauthVersionMax="47" xr10:uidLastSave="{00000000-0000-0000-0000-000000000000}"/>
  <bookViews>
    <workbookView xWindow="-19298" yWindow="-98" windowWidth="19396" windowHeight="10276" xr2:uid="{00000000-000D-0000-FFFF-FFFF00000000}"/>
  </bookViews>
  <sheets>
    <sheet name="BOM" sheetId="1" r:id="rId1"/>
  </sheets>
  <calcPr calcId="191029"/>
</workbook>
</file>

<file path=xl/calcChain.xml><?xml version="1.0" encoding="utf-8"?>
<calcChain xmlns="http://schemas.openxmlformats.org/spreadsheetml/2006/main">
  <c r="D54" i="1" l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<sst xmlns="http://schemas.openxmlformats.org/spreadsheetml/2006/main" count="259" uniqueCount="143">
  <si>
    <t>MaTouch_AI 2.8" SPI TFT ST7789V</t>
  </si>
  <si>
    <t>版本：V1.0
时间：2025/04/17
修订：2025/04/17
制作：Charlin</t>
  </si>
  <si>
    <t>常用知识：
103电容（10nF=0.01uF）
104电容（100nF=0.1uF）
105电容（1uF）</t>
  </si>
  <si>
    <t>英制0201=公制0603；英制0402=公制1005；
英制0603=公制1608；英制0805=公制2012；
英制1206=公制3216；英制1210=公制3225；
英制1812=公制4532；英制2010=公制5025；
英制2512=公制6432</t>
  </si>
  <si>
    <t>序号
Item</t>
  </si>
  <si>
    <t>单价</t>
  </si>
  <si>
    <t>规格参数 Specification Description</t>
  </si>
  <si>
    <t>封装
Package</t>
  </si>
  <si>
    <t>数量
Quantity</t>
  </si>
  <si>
    <t>单位
Unit</t>
  </si>
  <si>
    <t>位号Designator</t>
  </si>
  <si>
    <t>工艺</t>
  </si>
  <si>
    <t>替代型号</t>
  </si>
  <si>
    <t>注释comment</t>
  </si>
  <si>
    <t>推荐链接</t>
  </si>
  <si>
    <t>供应厂商（代理）
Supplier</t>
  </si>
  <si>
    <t xml:space="preserve"> 联系人</t>
  </si>
  <si>
    <t>联系方式</t>
  </si>
  <si>
    <t>最小包</t>
  </si>
  <si>
    <t>品牌
Manufacture</t>
  </si>
  <si>
    <t>100nF(104) ±10% 16V 0603</t>
  </si>
  <si>
    <t>0603</t>
  </si>
  <si>
    <t>PCS</t>
  </si>
  <si>
    <t xml:space="preserve"> C1, C2, C9, C16, C67, C24, C12, C15, C21, C22, C26, C29, C33, C35, C36, C37, C39, C40, C44, C47, C71, C72, </t>
  </si>
  <si>
    <t>SMT</t>
  </si>
  <si>
    <t>10uF(106) ±10% 10V 0603</t>
  </si>
  <si>
    <t>C11, C13, C17, C18, C25, C27, C30, C34, C38, C41, C42, C45, C46, C73, C5, C7, C8, C10, C20, C28, C65</t>
  </si>
  <si>
    <t>4.7uF ±10% 10V 0603</t>
  </si>
  <si>
    <t>C4, C64</t>
  </si>
  <si>
    <t>15pF,0603</t>
  </si>
  <si>
    <t>C3,C6, C14, C19,C74, C75</t>
  </si>
  <si>
    <t>按键，2PIN,贴片,PB157</t>
  </si>
  <si>
    <t>BOOT, RST</t>
  </si>
  <si>
    <t>CH340K, ESOP-10</t>
  </si>
  <si>
    <t>ESOP-10</t>
  </si>
  <si>
    <t>U8</t>
  </si>
  <si>
    <r>
      <rPr>
        <sz val="11"/>
        <color theme="1"/>
        <rFont val="宋体"/>
        <family val="3"/>
        <charset val="134"/>
      </rPr>
      <t>①</t>
    </r>
    <r>
      <rPr>
        <sz val="11"/>
        <color theme="1"/>
        <rFont val="宋体"/>
        <family val="3"/>
        <charset val="134"/>
        <scheme val="minor"/>
      </rPr>
      <t>2.8寸IPS液晶显示屏ST7789,40PIN,0.5mm，320X240, GT911电容触摸屏</t>
    </r>
  </si>
  <si>
    <t>/</t>
  </si>
  <si>
    <t>DIP</t>
  </si>
  <si>
    <t>IPS屏幕，只有电容屏</t>
  </si>
  <si>
    <t>耀元鸿科技</t>
  </si>
  <si>
    <t>FPC座，0.5mm,6PIN,翻盖式，下接</t>
  </si>
  <si>
    <t>P1</t>
  </si>
  <si>
    <t>接触摸屏</t>
  </si>
  <si>
    <t>FPC座，0.5mm,40PIN,抽屉式，上接</t>
  </si>
  <si>
    <t>P3</t>
  </si>
  <si>
    <t>接屏幕</t>
  </si>
  <si>
    <t>FPC座，0.5mm,24PIN,抽屉式，上接</t>
  </si>
  <si>
    <t>J4</t>
  </si>
  <si>
    <t>接摄像头</t>
  </si>
  <si>
    <t>ESP32-S3-WROOM-1,PCB天线，16MB Flash,8MB PSRAM,ESP32-S3-WROOM-1-N16R8</t>
  </si>
  <si>
    <t>U6</t>
  </si>
  <si>
    <t>ESP32-S3-WROOM-1-N16R8</t>
  </si>
  <si>
    <t>SMF05C,SOT363</t>
  </si>
  <si>
    <t>SOT363</t>
  </si>
  <si>
    <t>D1</t>
  </si>
  <si>
    <t>TF卡座，短卡抽屉式，贴片</t>
  </si>
  <si>
    <t>TF</t>
  </si>
  <si>
    <t>AMS1117-3.3,3.3V/1A输出，SOT89</t>
  </si>
  <si>
    <t>SOT89</t>
  </si>
  <si>
    <t>U2,U7</t>
  </si>
  <si>
    <t>PCF8563T/5,518,SOP8</t>
  </si>
  <si>
    <t>SOP8</t>
  </si>
  <si>
    <t>U11</t>
  </si>
  <si>
    <t>MAX98357A,TQFN-16</t>
  </si>
  <si>
    <t>TQFN-16</t>
  </si>
  <si>
    <t>IC2</t>
  </si>
  <si>
    <t>U9,U10</t>
  </si>
  <si>
    <t>MAX17048, DFN-8</t>
  </si>
  <si>
    <t>DFN-8</t>
  </si>
  <si>
    <t>U1</t>
  </si>
  <si>
    <t>TP4056,SOP8</t>
  </si>
  <si>
    <t>U4</t>
  </si>
  <si>
    <t>WS2812B，4P, 3535</t>
  </si>
  <si>
    <t>3535</t>
  </si>
  <si>
    <t>LED0</t>
  </si>
  <si>
    <t>USB-type-C座,16PIN</t>
  </si>
  <si>
    <t>USB-NATIVE, USB-TTL</t>
  </si>
  <si>
    <t>PMOS,AO3401, SOT23</t>
  </si>
  <si>
    <t>SOT23</t>
  </si>
  <si>
    <t>Q1</t>
  </si>
  <si>
    <t>NMOS,2N7002,SOT23</t>
  </si>
  <si>
    <t>Q2,Q3,Q5,Q6</t>
  </si>
  <si>
    <t>B5819WS,SOD323</t>
  </si>
  <si>
    <t>SOD323</t>
  </si>
  <si>
    <t>D3, D11</t>
  </si>
  <si>
    <t>SC-32S32.768kHz20PPM12.5pF</t>
  </si>
  <si>
    <t>SMD3215</t>
  </si>
  <si>
    <t>Q19</t>
  </si>
  <si>
    <t>C97606</t>
  </si>
  <si>
    <t>SS54,DO-214AC</t>
  </si>
  <si>
    <t>DO-214AC</t>
  </si>
  <si>
    <t>D2, D4</t>
  </si>
  <si>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Calibri"/>
        <family val="2"/>
      </rPr>
      <t>Ω</t>
    </r>
    <r>
      <rPr>
        <sz val="11"/>
        <color theme="1"/>
        <rFont val="宋体"/>
        <family val="3"/>
        <charset val="134"/>
        <scheme val="minor"/>
      </rPr>
      <t xml:space="preserve"> ±5%, 0603</t>
    </r>
  </si>
  <si>
    <t>R1, R3, R4, R5, R22, R24, R41, R43, R45, R61, R79, R80</t>
  </si>
  <si>
    <r>
      <rPr>
        <sz val="11"/>
        <color theme="1"/>
        <rFont val="宋体"/>
        <family val="3"/>
        <charset val="134"/>
        <scheme val="minor"/>
      </rPr>
      <t>10</t>
    </r>
    <r>
      <rPr>
        <sz val="11"/>
        <color theme="1"/>
        <rFont val="Calibri"/>
        <family val="2"/>
      </rPr>
      <t>Ω</t>
    </r>
    <r>
      <rPr>
        <sz val="11"/>
        <color theme="1"/>
        <rFont val="宋体"/>
        <family val="3"/>
        <charset val="134"/>
        <scheme val="minor"/>
      </rPr>
      <t xml:space="preserve"> ±5%, 0603</t>
    </r>
  </si>
  <si>
    <t>R13, R51, R52, R54, R56,R64, R65</t>
  </si>
  <si>
    <r>
      <rPr>
        <sz val="11"/>
        <color theme="1"/>
        <rFont val="宋体"/>
        <family val="3"/>
        <charset val="134"/>
        <scheme val="minor"/>
      </rPr>
      <t>1.2K</t>
    </r>
    <r>
      <rPr>
        <sz val="11"/>
        <color theme="1"/>
        <rFont val="Calibri"/>
        <family val="2"/>
      </rPr>
      <t>Ω</t>
    </r>
    <r>
      <rPr>
        <sz val="11"/>
        <color theme="1"/>
        <rFont val="宋体"/>
        <family val="3"/>
        <charset val="134"/>
        <scheme val="minor"/>
      </rPr>
      <t xml:space="preserve"> ±1%, 0603</t>
    </r>
  </si>
  <si>
    <t xml:space="preserve"> R10, R11, R12</t>
  </si>
  <si>
    <t>注意1%</t>
  </si>
  <si>
    <r>
      <rPr>
        <sz val="11"/>
        <color theme="1"/>
        <rFont val="宋体"/>
        <family val="3"/>
        <charset val="134"/>
        <scheme val="minor"/>
      </rPr>
      <t>5.1K</t>
    </r>
    <r>
      <rPr>
        <sz val="11"/>
        <color theme="1"/>
        <rFont val="Calibri"/>
        <family val="2"/>
      </rPr>
      <t>Ω</t>
    </r>
    <r>
      <rPr>
        <sz val="11"/>
        <color theme="1"/>
        <rFont val="宋体"/>
        <family val="3"/>
        <charset val="134"/>
        <scheme val="minor"/>
      </rPr>
      <t xml:space="preserve"> ±1%, 0603</t>
    </r>
  </si>
  <si>
    <t>R29, R30, R46, R57, R60, R72, R73, R74</t>
  </si>
  <si>
    <r>
      <rPr>
        <sz val="11"/>
        <color theme="1"/>
        <rFont val="宋体"/>
        <family val="3"/>
        <charset val="134"/>
        <scheme val="minor"/>
      </rPr>
      <t>560K</t>
    </r>
    <r>
      <rPr>
        <sz val="11"/>
        <color theme="1"/>
        <rFont val="Calibri"/>
        <family val="2"/>
      </rPr>
      <t>Ω</t>
    </r>
    <r>
      <rPr>
        <sz val="11"/>
        <color theme="1"/>
        <rFont val="宋体"/>
        <family val="3"/>
        <charset val="134"/>
        <scheme val="minor"/>
      </rPr>
      <t xml:space="preserve"> ±1%, 0603</t>
    </r>
  </si>
  <si>
    <t>R6</t>
  </si>
  <si>
    <r>
      <rPr>
        <sz val="11"/>
        <color theme="1"/>
        <rFont val="宋体"/>
        <family val="3"/>
        <charset val="134"/>
        <scheme val="minor"/>
      </rPr>
      <t>2.4K</t>
    </r>
    <r>
      <rPr>
        <sz val="11"/>
        <color theme="1"/>
        <rFont val="Calibri"/>
        <family val="2"/>
      </rPr>
      <t>Ω</t>
    </r>
    <r>
      <rPr>
        <sz val="11"/>
        <color theme="1"/>
        <rFont val="宋体"/>
        <family val="3"/>
        <charset val="134"/>
        <scheme val="minor"/>
      </rPr>
      <t xml:space="preserve"> ±1%, 0603</t>
    </r>
  </si>
  <si>
    <t>R58, R59</t>
  </si>
  <si>
    <r>
      <rPr>
        <sz val="11"/>
        <color theme="1"/>
        <rFont val="宋体"/>
        <family val="3"/>
        <charset val="134"/>
        <scheme val="minor"/>
      </rPr>
      <t>10K</t>
    </r>
    <r>
      <rPr>
        <sz val="11"/>
        <color theme="1"/>
        <rFont val="Calibri"/>
        <family val="2"/>
      </rPr>
      <t>Ω</t>
    </r>
    <r>
      <rPr>
        <sz val="11"/>
        <color theme="1"/>
        <rFont val="宋体"/>
        <family val="3"/>
        <charset val="134"/>
        <scheme val="minor"/>
      </rPr>
      <t xml:space="preserve"> ±5%, 0603</t>
    </r>
  </si>
  <si>
    <t>R8, R14, R18, R23, R27, R63, R66, R76, R31, R33, R67, R70, R71, R81</t>
  </si>
  <si>
    <r>
      <rPr>
        <sz val="11"/>
        <color theme="1"/>
        <rFont val="宋体"/>
        <family val="3"/>
        <charset val="134"/>
        <scheme val="minor"/>
      </rPr>
      <t>100K</t>
    </r>
    <r>
      <rPr>
        <sz val="11"/>
        <color theme="1"/>
        <rFont val="Calibri"/>
        <family val="2"/>
      </rPr>
      <t>Ω</t>
    </r>
    <r>
      <rPr>
        <sz val="11"/>
        <color theme="1"/>
        <rFont val="宋体"/>
        <family val="3"/>
        <charset val="134"/>
        <scheme val="minor"/>
      </rPr>
      <t xml:space="preserve"> ±5%, 0603</t>
    </r>
  </si>
  <si>
    <t>R9, R21, R25</t>
  </si>
  <si>
    <r>
      <rPr>
        <sz val="11"/>
        <color theme="1"/>
        <rFont val="宋体"/>
        <family val="3"/>
        <charset val="134"/>
        <scheme val="minor"/>
      </rPr>
      <t>470</t>
    </r>
    <r>
      <rPr>
        <sz val="11"/>
        <color theme="1"/>
        <rFont val="Calibri"/>
        <family val="2"/>
      </rPr>
      <t>Ω</t>
    </r>
    <r>
      <rPr>
        <sz val="11"/>
        <color theme="1"/>
        <rFont val="宋体"/>
        <family val="3"/>
        <charset val="134"/>
        <scheme val="minor"/>
      </rPr>
      <t xml:space="preserve"> ±5%, 0603</t>
    </r>
  </si>
  <si>
    <t>R53</t>
  </si>
  <si>
    <t>HY2.0-4P,带卡扣，卧式贴片座子</t>
  </si>
  <si>
    <t>J1, J3</t>
  </si>
  <si>
    <t>BLM18PG121SN1D,120R@100Mhz,0603</t>
  </si>
  <si>
    <t>FB1,FB2</t>
  </si>
  <si>
    <t>SSP6206-15NR,1.5V/300mA</t>
  </si>
  <si>
    <t>U3</t>
  </si>
  <si>
    <t>XC6206P282MR,2.8V/300mA</t>
  </si>
  <si>
    <t>U5</t>
  </si>
  <si>
    <t>绿灯，LED0805</t>
  </si>
  <si>
    <t>LED0805</t>
  </si>
  <si>
    <t>LED, DONE</t>
  </si>
  <si>
    <t>红灯，LED0805</t>
  </si>
  <si>
    <t>CHRG</t>
  </si>
  <si>
    <t>PH2.0-2P,2.0mm贴片座，卧式2P，带2个固定焊盘</t>
  </si>
  <si>
    <t>BAT</t>
  </si>
  <si>
    <t>M3双面胶</t>
  </si>
  <si>
    <t>粘贴屏幕</t>
  </si>
  <si>
    <t>摄像头OV3660，24P,0.5mm</t>
  </si>
  <si>
    <t>1.25mm-2P贴片座，卧式2P，带2个固定焊盘</t>
  </si>
  <si>
    <t>SPK</t>
  </si>
  <si>
    <t>贴片卧式开关，6P,2.5mm</t>
  </si>
  <si>
    <t>PWR</t>
  </si>
  <si>
    <t>3525喇叭 4欧3W 线序分正负 1.25mm 2P 如右图所示</t>
  </si>
  <si>
    <t>贴片螺母，内径螺纹M2.5mm, M2.5X4.5X6.0,高6.0mm</t>
  </si>
  <si>
    <t>M1, M2, M3, M4</t>
  </si>
  <si>
    <t>闪迪TF卡(microSD卡),  容量16GB, 速度：A1,Class 10</t>
  </si>
  <si>
    <t>测试时先保存7张jpg文件和MP3文件到TF卡里</t>
  </si>
  <si>
    <t>M2.5*5 细纹螺丝，平头，螺丝长5mm</t>
  </si>
  <si>
    <t>锁住螺丝孔M5,M6,M7,M8</t>
  </si>
  <si>
    <r>
      <rPr>
        <sz val="11"/>
        <color theme="1"/>
        <rFont val="宋体"/>
        <family val="3"/>
        <charset val="134"/>
        <scheme val="minor"/>
      </rPr>
      <t>说明：</t>
    </r>
    <r>
      <rPr>
        <sz val="11"/>
        <color theme="1"/>
        <rFont val="宋体"/>
        <family val="3"/>
        <charset val="134"/>
      </rPr>
      <t>①</t>
    </r>
    <r>
      <rPr>
        <sz val="11"/>
        <color theme="1"/>
        <rFont val="宋体"/>
        <family val="3"/>
        <charset val="134"/>
        <scheme val="minor"/>
      </rPr>
      <t xml:space="preserve"> ESP32-S3只有电容屏版本，没有电阻屏版本</t>
    </r>
  </si>
  <si>
    <t>INMP441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</si>
</sst>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7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11"/>
      <color theme="1"/>
      <name val="Calibri"/>
      <family val="2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511703848384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2" fillId="0" borderId="0"/>
  </cellStyleXfs>
  <cellXfs count="36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0" borderId="0" xfId="0" applyFont="1" applyAlignment="1">
      <alignment wrapText="1"/>
    </xf>
    <xf numFmtId="0" fontId="0" fillId="0" borderId="4" xfId="0" applyBorder="1" applyAlignment="1">
      <alignment horizontal="left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0" borderId="5" xfId="0" applyBorder="1"/>
    <xf numFmtId="0" fontId="2" fillId="2" borderId="5" xfId="0" applyFont="1" applyFill="1" applyBorder="1" applyAlignment="1">
      <alignment vertical="center"/>
    </xf>
    <xf numFmtId="49" fontId="2" fillId="0" borderId="5" xfId="0" applyNumberFormat="1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 wrapText="1"/>
    </xf>
    <xf numFmtId="0" fontId="2" fillId="2" borderId="5" xfId="2" applyFill="1" applyBorder="1" applyAlignment="1">
      <alignment vertical="center"/>
    </xf>
    <xf numFmtId="49" fontId="2" fillId="0" borderId="5" xfId="2" applyNumberFormat="1" applyBorder="1"/>
    <xf numFmtId="0" fontId="2" fillId="2" borderId="5" xfId="2" applyFill="1" applyBorder="1" applyAlignment="1">
      <alignment horizontal="center" vertical="center"/>
    </xf>
    <xf numFmtId="0" fontId="2" fillId="0" borderId="5" xfId="2" applyBorder="1" applyAlignment="1">
      <alignment horizontal="left" wrapText="1"/>
    </xf>
    <xf numFmtId="0" fontId="2" fillId="0" borderId="5" xfId="2" applyBorder="1" applyAlignment="1">
      <alignment wrapText="1"/>
    </xf>
    <xf numFmtId="0" fontId="3" fillId="5" borderId="5" xfId="2" applyFont="1" applyFill="1" applyBorder="1" applyAlignment="1">
      <alignment vertical="center"/>
    </xf>
    <xf numFmtId="0" fontId="2" fillId="0" borderId="5" xfId="2" applyBorder="1"/>
    <xf numFmtId="0" fontId="2" fillId="2" borderId="5" xfId="0" applyFont="1" applyFill="1" applyBorder="1" applyAlignment="1">
      <alignment horizontal="left" wrapText="1"/>
    </xf>
    <xf numFmtId="0" fontId="2" fillId="2" borderId="0" xfId="2" applyFill="1" applyAlignment="1">
      <alignment vertical="center"/>
    </xf>
    <xf numFmtId="0" fontId="3" fillId="2" borderId="0" xfId="2" applyFont="1" applyFill="1" applyAlignment="1">
      <alignment vertical="center"/>
    </xf>
    <xf numFmtId="0" fontId="2" fillId="0" borderId="0" xfId="0" applyFont="1"/>
    <xf numFmtId="0" fontId="0" fillId="4" borderId="5" xfId="0" applyFill="1" applyBorder="1" applyAlignment="1">
      <alignment horizontal="center" vertical="center"/>
    </xf>
    <xf numFmtId="0" fontId="2" fillId="0" borderId="5" xfId="0" applyFont="1" applyBorder="1"/>
    <xf numFmtId="0" fontId="4" fillId="0" borderId="5" xfId="1" applyBorder="1"/>
    <xf numFmtId="0" fontId="2" fillId="0" borderId="5" xfId="0" applyFont="1" applyBorder="1" applyAlignment="1">
      <alignment horizontal="left"/>
    </xf>
    <xf numFmtId="0" fontId="0" fillId="2" borderId="5" xfId="0" applyFill="1" applyBorder="1" applyAlignment="1">
      <alignment vertical="center"/>
    </xf>
    <xf numFmtId="9" fontId="2" fillId="0" borderId="5" xfId="0" applyNumberFormat="1" applyFont="1" applyBorder="1"/>
    <xf numFmtId="0" fontId="4" fillId="0" borderId="0" xfId="1" applyBorder="1"/>
    <xf numFmtId="0" fontId="2" fillId="0" borderId="1" xfId="0" applyFont="1" applyBorder="1" applyAlignment="1">
      <alignment horizontal="left" wrapText="1"/>
    </xf>
    <xf numFmtId="0" fontId="1" fillId="3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</cellXfs>
  <cellStyles count="3">
    <cellStyle name="常规" xfId="0" builtinId="0"/>
    <cellStyle name="常规 2" xfId="2" xr:uid="{00000000-0005-0000-0000-000031000000}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484094</xdr:colOff>
      <xdr:row>47</xdr:row>
      <xdr:rowOff>98611</xdr:rowOff>
    </xdr:from>
    <xdr:to>
      <xdr:col>8</xdr:col>
      <xdr:colOff>2828441</xdr:colOff>
      <xdr:row>58</xdr:row>
      <xdr:rowOff>157457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33170" y="15928975"/>
          <a:ext cx="2344420" cy="30295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8"/>
  <sheetViews>
    <sheetView tabSelected="1" zoomScale="70" zoomScaleNormal="70" workbookViewId="0">
      <selection activeCell="B3" sqref="B1:C1048576"/>
    </sheetView>
  </sheetViews>
  <sheetFormatPr defaultColWidth="9" defaultRowHeight="13.5" x14ac:dyDescent="0.3"/>
  <cols>
    <col min="1" max="1" width="6" customWidth="1"/>
    <col min="2" max="2" width="87" customWidth="1"/>
    <col min="3" max="3" width="11.1328125" customWidth="1"/>
    <col min="4" max="4" width="9.6640625" customWidth="1"/>
    <col min="5" max="5" width="5.86328125" customWidth="1"/>
    <col min="6" max="6" width="42.86328125" customWidth="1"/>
    <col min="7" max="7" width="4" customWidth="1"/>
    <col min="8" max="8" width="9.46484375" customWidth="1"/>
    <col min="9" max="9" width="60.46484375" customWidth="1"/>
    <col min="10" max="10" width="39.6640625" customWidth="1"/>
    <col min="11" max="11" width="18.796875" customWidth="1"/>
    <col min="12" max="12" width="8.6640625" customWidth="1"/>
    <col min="13" max="13" width="11.33203125" customWidth="1"/>
    <col min="14" max="14" width="7.1328125" customWidth="1"/>
    <col min="15" max="15" width="8.19921875" customWidth="1"/>
    <col min="16" max="16" width="13.19921875" customWidth="1"/>
  </cols>
  <sheetData>
    <row r="1" spans="1:16" ht="87.6" customHeight="1" x14ac:dyDescent="2.0499999999999998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5"/>
    </row>
    <row r="2" spans="1:16" ht="73.25" customHeight="1" x14ac:dyDescent="0.3">
      <c r="A2" s="32" t="s">
        <v>1</v>
      </c>
      <c r="B2" s="3" t="s">
        <v>2</v>
      </c>
      <c r="F2" s="3" t="s">
        <v>3</v>
      </c>
    </row>
    <row r="3" spans="1:16" ht="19.5" customHeight="1" x14ac:dyDescent="0.3">
      <c r="A3" s="4"/>
    </row>
    <row r="4" spans="1:16" s="1" customFormat="1" ht="38.450000000000003" customHeight="1" x14ac:dyDescent="0.3">
      <c r="A4" s="5" t="s">
        <v>4</v>
      </c>
      <c r="B4" s="6" t="s">
        <v>6</v>
      </c>
      <c r="C4" s="7" t="s">
        <v>7</v>
      </c>
      <c r="D4" s="5" t="s">
        <v>8</v>
      </c>
      <c r="E4" s="5" t="s">
        <v>9</v>
      </c>
      <c r="F4" s="6" t="s">
        <v>10</v>
      </c>
      <c r="G4" s="25" t="s">
        <v>11</v>
      </c>
      <c r="H4" s="25" t="s">
        <v>12</v>
      </c>
      <c r="I4" s="6" t="s">
        <v>13</v>
      </c>
      <c r="J4" s="6" t="s">
        <v>14</v>
      </c>
      <c r="K4" s="5" t="s">
        <v>15</v>
      </c>
      <c r="L4" s="25" t="s">
        <v>16</v>
      </c>
      <c r="M4" s="25" t="s">
        <v>17</v>
      </c>
      <c r="N4" s="25" t="s">
        <v>5</v>
      </c>
      <c r="O4" s="25" t="s">
        <v>18</v>
      </c>
      <c r="P4" s="5" t="s">
        <v>19</v>
      </c>
    </row>
    <row r="5" spans="1:16" ht="64.8" customHeight="1" x14ac:dyDescent="0.3">
      <c r="A5" s="8">
        <v>1</v>
      </c>
      <c r="B5" s="10" t="s">
        <v>20</v>
      </c>
      <c r="C5" s="11" t="s">
        <v>21</v>
      </c>
      <c r="D5" s="12">
        <f>LEN(F5)-LEN(SUBSTITUTE(F5,",",))+1</f>
        <v>23</v>
      </c>
      <c r="E5" s="8" t="s">
        <v>22</v>
      </c>
      <c r="F5" s="13" t="s">
        <v>23</v>
      </c>
      <c r="G5" s="8" t="s">
        <v>24</v>
      </c>
      <c r="H5" s="9"/>
      <c r="I5" s="26"/>
      <c r="J5" s="27"/>
      <c r="K5" s="9"/>
      <c r="L5" s="9"/>
      <c r="M5" s="9"/>
      <c r="N5" s="9"/>
      <c r="O5" s="9"/>
      <c r="P5" s="9"/>
    </row>
    <row r="6" spans="1:16" ht="52.8" customHeight="1" x14ac:dyDescent="0.3">
      <c r="A6" s="8">
        <v>2</v>
      </c>
      <c r="B6" s="10" t="s">
        <v>25</v>
      </c>
      <c r="C6" s="11" t="s">
        <v>21</v>
      </c>
      <c r="D6" s="12">
        <f t="shared" ref="D6:D54" si="0">LEN(F6)-LEN(SUBSTITUTE(F6,",",))+1</f>
        <v>21</v>
      </c>
      <c r="E6" s="8" t="s">
        <v>22</v>
      </c>
      <c r="F6" s="13" t="s">
        <v>26</v>
      </c>
      <c r="G6" s="8" t="s">
        <v>24</v>
      </c>
      <c r="H6" s="9"/>
      <c r="I6" s="26"/>
      <c r="J6" s="27"/>
      <c r="K6" s="9"/>
      <c r="L6" s="9"/>
      <c r="M6" s="9"/>
      <c r="N6" s="9"/>
      <c r="O6" s="9"/>
      <c r="P6" s="9"/>
    </row>
    <row r="7" spans="1:16" ht="21" customHeight="1" x14ac:dyDescent="0.3">
      <c r="A7" s="8">
        <v>3</v>
      </c>
      <c r="B7" s="10" t="s">
        <v>27</v>
      </c>
      <c r="C7" s="11" t="s">
        <v>21</v>
      </c>
      <c r="D7" s="12">
        <f t="shared" si="0"/>
        <v>2</v>
      </c>
      <c r="E7" s="8" t="s">
        <v>22</v>
      </c>
      <c r="F7" s="13" t="s">
        <v>28</v>
      </c>
      <c r="G7" s="8" t="s">
        <v>24</v>
      </c>
      <c r="H7" s="9"/>
      <c r="I7" s="26"/>
      <c r="J7" s="27"/>
      <c r="K7" s="9"/>
      <c r="L7" s="9"/>
      <c r="M7" s="9"/>
      <c r="N7" s="9"/>
      <c r="O7" s="9"/>
      <c r="P7" s="9"/>
    </row>
    <row r="8" spans="1:16" ht="21" customHeight="1" x14ac:dyDescent="0.3">
      <c r="A8" s="8">
        <v>4</v>
      </c>
      <c r="B8" s="10" t="s">
        <v>29</v>
      </c>
      <c r="C8" s="11" t="s">
        <v>21</v>
      </c>
      <c r="D8" s="12">
        <f t="shared" si="0"/>
        <v>6</v>
      </c>
      <c r="E8" s="8" t="s">
        <v>22</v>
      </c>
      <c r="F8" s="13" t="s">
        <v>30</v>
      </c>
      <c r="G8" s="8" t="s">
        <v>24</v>
      </c>
      <c r="H8" s="9"/>
      <c r="I8" s="26"/>
      <c r="J8" s="27"/>
      <c r="K8" s="9"/>
      <c r="L8" s="9"/>
      <c r="M8" s="9"/>
      <c r="N8" s="9"/>
      <c r="O8" s="9"/>
      <c r="P8" s="9"/>
    </row>
    <row r="9" spans="1:16" ht="21" customHeight="1" x14ac:dyDescent="0.3">
      <c r="A9" s="8">
        <v>5</v>
      </c>
      <c r="B9" s="14" t="s">
        <v>31</v>
      </c>
      <c r="C9" s="15"/>
      <c r="D9" s="12">
        <f t="shared" si="0"/>
        <v>2</v>
      </c>
      <c r="E9" s="16" t="s">
        <v>22</v>
      </c>
      <c r="F9" s="17" t="s">
        <v>32</v>
      </c>
      <c r="G9" s="16" t="s">
        <v>24</v>
      </c>
      <c r="H9" s="9"/>
      <c r="I9" s="26"/>
      <c r="J9" s="27"/>
      <c r="K9" s="9"/>
      <c r="L9" s="9"/>
      <c r="M9" s="9"/>
      <c r="N9" s="9"/>
      <c r="O9" s="9"/>
      <c r="P9" s="9"/>
    </row>
    <row r="10" spans="1:16" ht="21" customHeight="1" x14ac:dyDescent="0.3">
      <c r="A10" s="8">
        <v>6</v>
      </c>
      <c r="B10" s="14" t="s">
        <v>33</v>
      </c>
      <c r="C10" s="15" t="s">
        <v>34</v>
      </c>
      <c r="D10" s="12">
        <f t="shared" si="0"/>
        <v>1</v>
      </c>
      <c r="E10" s="16" t="s">
        <v>22</v>
      </c>
      <c r="F10" s="18" t="s">
        <v>35</v>
      </c>
      <c r="G10" s="16" t="s">
        <v>24</v>
      </c>
      <c r="H10" s="9"/>
      <c r="I10" s="26"/>
      <c r="J10" s="27"/>
      <c r="K10" s="9"/>
      <c r="L10" s="9"/>
      <c r="M10" s="9"/>
      <c r="N10" s="9"/>
      <c r="O10" s="9"/>
      <c r="P10" s="9"/>
    </row>
    <row r="11" spans="1:16" ht="21" customHeight="1" x14ac:dyDescent="0.3">
      <c r="A11" s="8">
        <v>7</v>
      </c>
      <c r="B11" s="19" t="s">
        <v>36</v>
      </c>
      <c r="C11" s="15" t="s">
        <v>37</v>
      </c>
      <c r="D11" s="12">
        <f t="shared" si="0"/>
        <v>1</v>
      </c>
      <c r="E11" s="16" t="s">
        <v>22</v>
      </c>
      <c r="F11" s="18"/>
      <c r="G11" s="16" t="s">
        <v>38</v>
      </c>
      <c r="H11" s="9"/>
      <c r="I11" s="28" t="s">
        <v>39</v>
      </c>
      <c r="J11" s="27"/>
      <c r="K11" s="26" t="s">
        <v>40</v>
      </c>
      <c r="L11" s="9"/>
      <c r="M11" s="9"/>
      <c r="N11" s="9"/>
      <c r="O11" s="9"/>
      <c r="P11" s="9"/>
    </row>
    <row r="12" spans="1:16" ht="21" customHeight="1" x14ac:dyDescent="0.3">
      <c r="A12" s="8">
        <v>8</v>
      </c>
      <c r="B12" s="14" t="s">
        <v>41</v>
      </c>
      <c r="C12" s="20"/>
      <c r="D12" s="12">
        <f t="shared" si="0"/>
        <v>1</v>
      </c>
      <c r="E12" s="16" t="s">
        <v>22</v>
      </c>
      <c r="F12" s="17" t="s">
        <v>42</v>
      </c>
      <c r="G12" s="16" t="s">
        <v>24</v>
      </c>
      <c r="H12" s="9"/>
      <c r="I12" s="26" t="s">
        <v>43</v>
      </c>
      <c r="J12" s="27"/>
      <c r="K12" s="9"/>
      <c r="L12" s="9"/>
      <c r="M12" s="9"/>
      <c r="N12" s="9"/>
      <c r="O12" s="9"/>
      <c r="P12" s="9"/>
    </row>
    <row r="13" spans="1:16" ht="21" customHeight="1" x14ac:dyDescent="0.3">
      <c r="A13" s="8">
        <v>9</v>
      </c>
      <c r="B13" s="14" t="s">
        <v>44</v>
      </c>
      <c r="C13" s="20"/>
      <c r="D13" s="12">
        <f t="shared" si="0"/>
        <v>1</v>
      </c>
      <c r="E13" s="16" t="s">
        <v>22</v>
      </c>
      <c r="F13" s="17" t="s">
        <v>45</v>
      </c>
      <c r="G13" s="16" t="s">
        <v>24</v>
      </c>
      <c r="H13" s="20"/>
      <c r="I13" s="20" t="s">
        <v>46</v>
      </c>
      <c r="J13" s="27"/>
      <c r="K13" s="9"/>
      <c r="L13" s="9"/>
      <c r="M13" s="9"/>
      <c r="N13" s="9"/>
      <c r="O13" s="9"/>
      <c r="P13" s="9"/>
    </row>
    <row r="14" spans="1:16" ht="21" customHeight="1" x14ac:dyDescent="0.3">
      <c r="A14" s="8">
        <v>10</v>
      </c>
      <c r="B14" s="14" t="s">
        <v>47</v>
      </c>
      <c r="C14" s="20"/>
      <c r="D14" s="12">
        <f t="shared" si="0"/>
        <v>1</v>
      </c>
      <c r="E14" s="16" t="s">
        <v>22</v>
      </c>
      <c r="F14" s="17" t="s">
        <v>48</v>
      </c>
      <c r="G14" s="16" t="s">
        <v>24</v>
      </c>
      <c r="H14" s="20"/>
      <c r="I14" s="20" t="s">
        <v>49</v>
      </c>
      <c r="J14" s="27"/>
      <c r="K14" s="9"/>
      <c r="L14" s="9"/>
      <c r="M14" s="9"/>
      <c r="N14" s="9"/>
      <c r="O14" s="9"/>
      <c r="P14" s="9"/>
    </row>
    <row r="15" spans="1:16" ht="21" customHeight="1" x14ac:dyDescent="0.3">
      <c r="A15" s="8">
        <v>11</v>
      </c>
      <c r="B15" s="10" t="s">
        <v>50</v>
      </c>
      <c r="C15" s="11" t="s">
        <v>37</v>
      </c>
      <c r="D15" s="12">
        <f t="shared" si="0"/>
        <v>1</v>
      </c>
      <c r="E15" s="8" t="s">
        <v>22</v>
      </c>
      <c r="F15" s="13" t="s">
        <v>51</v>
      </c>
      <c r="G15" s="8" t="s">
        <v>24</v>
      </c>
      <c r="H15" s="9"/>
      <c r="I15" s="26" t="s">
        <v>52</v>
      </c>
      <c r="J15" s="27"/>
      <c r="K15" s="9"/>
      <c r="L15" s="9"/>
      <c r="M15" s="9"/>
      <c r="N15" s="9"/>
      <c r="O15" s="9"/>
      <c r="P15" s="9"/>
    </row>
    <row r="16" spans="1:16" ht="21" customHeight="1" x14ac:dyDescent="0.3">
      <c r="A16" s="8">
        <v>12</v>
      </c>
      <c r="B16" s="10" t="s">
        <v>53</v>
      </c>
      <c r="C16" s="11" t="s">
        <v>54</v>
      </c>
      <c r="D16" s="12">
        <f t="shared" si="0"/>
        <v>1</v>
      </c>
      <c r="E16" s="8" t="s">
        <v>22</v>
      </c>
      <c r="F16" s="13" t="s">
        <v>55</v>
      </c>
      <c r="G16" s="8" t="s">
        <v>24</v>
      </c>
      <c r="H16" s="9"/>
      <c r="I16" s="26"/>
      <c r="J16" s="27"/>
      <c r="K16" s="9"/>
      <c r="L16" s="9"/>
      <c r="M16" s="9"/>
      <c r="N16" s="9"/>
      <c r="O16" s="9"/>
      <c r="P16" s="9"/>
    </row>
    <row r="17" spans="1:16" ht="21" customHeight="1" x14ac:dyDescent="0.3">
      <c r="A17" s="8">
        <v>13</v>
      </c>
      <c r="B17" s="14" t="s">
        <v>56</v>
      </c>
      <c r="C17" s="20"/>
      <c r="D17" s="12">
        <f t="shared" si="0"/>
        <v>1</v>
      </c>
      <c r="E17" s="16" t="s">
        <v>22</v>
      </c>
      <c r="F17" s="20" t="s">
        <v>57</v>
      </c>
      <c r="G17" s="16" t="s">
        <v>24</v>
      </c>
      <c r="H17" s="9"/>
      <c r="I17" s="26"/>
      <c r="J17" s="27"/>
      <c r="K17" s="9"/>
      <c r="L17" s="9"/>
      <c r="M17" s="9"/>
      <c r="N17" s="9"/>
      <c r="O17" s="9"/>
      <c r="P17" s="9"/>
    </row>
    <row r="18" spans="1:16" ht="21" customHeight="1" x14ac:dyDescent="0.3">
      <c r="A18" s="8">
        <v>14</v>
      </c>
      <c r="B18" s="14" t="s">
        <v>58</v>
      </c>
      <c r="C18" s="15" t="s">
        <v>59</v>
      </c>
      <c r="D18" s="12">
        <f t="shared" si="0"/>
        <v>2</v>
      </c>
      <c r="E18" s="16" t="s">
        <v>22</v>
      </c>
      <c r="F18" s="17" t="s">
        <v>60</v>
      </c>
      <c r="G18" s="16" t="s">
        <v>24</v>
      </c>
      <c r="H18" s="9"/>
      <c r="I18" s="26"/>
      <c r="J18" s="27"/>
      <c r="K18" s="9"/>
      <c r="L18" s="9"/>
      <c r="M18" s="9"/>
      <c r="N18" s="9"/>
      <c r="O18" s="9"/>
      <c r="P18" s="9"/>
    </row>
    <row r="19" spans="1:16" ht="21" customHeight="1" x14ac:dyDescent="0.3">
      <c r="A19" s="8">
        <v>15</v>
      </c>
      <c r="B19" s="14" t="s">
        <v>61</v>
      </c>
      <c r="C19" s="15" t="s">
        <v>62</v>
      </c>
      <c r="D19" s="12">
        <f t="shared" si="0"/>
        <v>1</v>
      </c>
      <c r="E19" s="16" t="s">
        <v>22</v>
      </c>
      <c r="F19" s="17" t="s">
        <v>63</v>
      </c>
      <c r="G19" s="16" t="s">
        <v>24</v>
      </c>
      <c r="H19" s="9"/>
      <c r="I19" s="26"/>
      <c r="J19" s="27"/>
      <c r="K19" s="9"/>
      <c r="L19" s="9"/>
      <c r="M19" s="9"/>
      <c r="N19" s="9"/>
      <c r="O19" s="9"/>
      <c r="P19" s="9"/>
    </row>
    <row r="20" spans="1:16" ht="21" customHeight="1" x14ac:dyDescent="0.3">
      <c r="A20" s="8">
        <v>16</v>
      </c>
      <c r="B20" s="14" t="s">
        <v>64</v>
      </c>
      <c r="C20" s="15" t="s">
        <v>65</v>
      </c>
      <c r="D20" s="12">
        <f t="shared" si="0"/>
        <v>1</v>
      </c>
      <c r="E20" s="16" t="s">
        <v>22</v>
      </c>
      <c r="F20" s="17" t="s">
        <v>66</v>
      </c>
      <c r="G20" s="16" t="s">
        <v>24</v>
      </c>
      <c r="H20" s="9"/>
      <c r="I20" s="26"/>
      <c r="J20" s="27"/>
      <c r="K20" s="9"/>
      <c r="L20" s="9"/>
      <c r="M20" s="9"/>
      <c r="N20" s="9"/>
      <c r="O20" s="9"/>
      <c r="P20" s="9"/>
    </row>
    <row r="21" spans="1:16" ht="21" customHeight="1" x14ac:dyDescent="0.3">
      <c r="A21" s="8">
        <v>17</v>
      </c>
      <c r="B21" s="14" t="s">
        <v>142</v>
      </c>
      <c r="C21" s="15"/>
      <c r="D21" s="12">
        <f t="shared" si="0"/>
        <v>2</v>
      </c>
      <c r="E21" s="16" t="s">
        <v>22</v>
      </c>
      <c r="F21" s="17" t="s">
        <v>67</v>
      </c>
      <c r="G21" s="16" t="s">
        <v>24</v>
      </c>
      <c r="H21" s="9"/>
      <c r="I21" s="26"/>
      <c r="J21" s="27"/>
      <c r="K21" s="9"/>
      <c r="L21" s="9"/>
      <c r="M21" s="9"/>
      <c r="N21" s="9"/>
      <c r="O21" s="9"/>
      <c r="P21" s="9"/>
    </row>
    <row r="22" spans="1:16" ht="21" customHeight="1" x14ac:dyDescent="0.3">
      <c r="A22" s="8">
        <v>18</v>
      </c>
      <c r="B22" s="14" t="s">
        <v>68</v>
      </c>
      <c r="C22" s="15" t="s">
        <v>69</v>
      </c>
      <c r="D22" s="12">
        <f t="shared" si="0"/>
        <v>1</v>
      </c>
      <c r="E22" s="16" t="s">
        <v>22</v>
      </c>
      <c r="F22" s="17" t="s">
        <v>70</v>
      </c>
      <c r="G22" s="16" t="s">
        <v>24</v>
      </c>
      <c r="H22" s="9"/>
      <c r="I22" s="26"/>
      <c r="J22" s="27"/>
      <c r="K22" s="9"/>
      <c r="L22" s="9"/>
      <c r="M22" s="9"/>
      <c r="N22" s="9"/>
      <c r="O22" s="9"/>
      <c r="P22" s="9"/>
    </row>
    <row r="23" spans="1:16" ht="21" customHeight="1" x14ac:dyDescent="0.3">
      <c r="A23" s="8">
        <v>19</v>
      </c>
      <c r="B23" s="14" t="s">
        <v>71</v>
      </c>
      <c r="C23" s="15" t="s">
        <v>62</v>
      </c>
      <c r="D23" s="12">
        <f t="shared" si="0"/>
        <v>1</v>
      </c>
      <c r="E23" s="16" t="s">
        <v>22</v>
      </c>
      <c r="F23" s="17" t="s">
        <v>72</v>
      </c>
      <c r="G23" s="16" t="s">
        <v>24</v>
      </c>
      <c r="H23" s="9"/>
      <c r="I23" s="26"/>
      <c r="J23" s="27"/>
      <c r="K23" s="9"/>
      <c r="L23" s="9"/>
      <c r="M23" s="9"/>
      <c r="N23" s="9"/>
      <c r="O23" s="9"/>
      <c r="P23" s="9"/>
    </row>
    <row r="24" spans="1:16" ht="21" customHeight="1" x14ac:dyDescent="0.3">
      <c r="A24" s="8">
        <v>20</v>
      </c>
      <c r="B24" s="14" t="s">
        <v>73</v>
      </c>
      <c r="C24" s="15" t="s">
        <v>74</v>
      </c>
      <c r="D24" s="12">
        <f t="shared" si="0"/>
        <v>1</v>
      </c>
      <c r="E24" s="16" t="s">
        <v>22</v>
      </c>
      <c r="F24" s="17" t="s">
        <v>75</v>
      </c>
      <c r="G24" s="16" t="s">
        <v>24</v>
      </c>
      <c r="H24" s="9"/>
      <c r="I24" s="26"/>
      <c r="J24" s="27"/>
      <c r="K24" s="9"/>
      <c r="L24" s="9"/>
      <c r="M24" s="9"/>
      <c r="N24" s="9"/>
      <c r="O24" s="9"/>
      <c r="P24" s="9"/>
    </row>
    <row r="25" spans="1:16" ht="21" customHeight="1" x14ac:dyDescent="0.3">
      <c r="A25" s="8">
        <v>21</v>
      </c>
      <c r="B25" s="10" t="s">
        <v>76</v>
      </c>
      <c r="C25" s="11"/>
      <c r="D25" s="12">
        <f t="shared" si="0"/>
        <v>2</v>
      </c>
      <c r="E25" s="8" t="s">
        <v>22</v>
      </c>
      <c r="F25" s="13" t="s">
        <v>77</v>
      </c>
      <c r="G25" s="8" t="s">
        <v>24</v>
      </c>
      <c r="H25" s="9"/>
      <c r="I25" s="26"/>
      <c r="J25" s="27"/>
      <c r="K25" s="9"/>
      <c r="L25" s="9"/>
      <c r="M25" s="9"/>
      <c r="N25" s="9"/>
      <c r="O25" s="9"/>
      <c r="P25" s="9"/>
    </row>
    <row r="26" spans="1:16" ht="21" customHeight="1" x14ac:dyDescent="0.3">
      <c r="A26" s="8">
        <v>22</v>
      </c>
      <c r="B26" s="10" t="s">
        <v>78</v>
      </c>
      <c r="C26" s="11" t="s">
        <v>79</v>
      </c>
      <c r="D26" s="12">
        <f t="shared" si="0"/>
        <v>1</v>
      </c>
      <c r="E26" s="8" t="s">
        <v>22</v>
      </c>
      <c r="F26" s="13" t="s">
        <v>80</v>
      </c>
      <c r="G26" s="8" t="s">
        <v>24</v>
      </c>
      <c r="H26" s="9"/>
      <c r="I26" s="26"/>
      <c r="J26" s="27"/>
      <c r="K26" s="9"/>
      <c r="L26" s="9"/>
      <c r="M26" s="9"/>
      <c r="N26" s="9"/>
      <c r="O26" s="9"/>
      <c r="P26" s="9"/>
    </row>
    <row r="27" spans="1:16" ht="21" customHeight="1" x14ac:dyDescent="0.3">
      <c r="A27" s="8">
        <v>23</v>
      </c>
      <c r="B27" s="10" t="s">
        <v>81</v>
      </c>
      <c r="C27" s="11" t="s">
        <v>79</v>
      </c>
      <c r="D27" s="12">
        <f t="shared" si="0"/>
        <v>4</v>
      </c>
      <c r="E27" s="8" t="s">
        <v>22</v>
      </c>
      <c r="F27" s="13" t="s">
        <v>82</v>
      </c>
      <c r="G27" s="8" t="s">
        <v>24</v>
      </c>
      <c r="H27" s="9"/>
      <c r="I27" s="26"/>
      <c r="J27" s="27"/>
      <c r="K27" s="9"/>
      <c r="L27" s="9"/>
      <c r="M27" s="9"/>
      <c r="N27" s="9"/>
      <c r="O27" s="9"/>
      <c r="P27" s="9"/>
    </row>
    <row r="28" spans="1:16" ht="21" customHeight="1" x14ac:dyDescent="0.3">
      <c r="A28" s="8">
        <v>24</v>
      </c>
      <c r="B28" s="10" t="s">
        <v>83</v>
      </c>
      <c r="C28" s="11" t="s">
        <v>84</v>
      </c>
      <c r="D28" s="12">
        <f t="shared" si="0"/>
        <v>2</v>
      </c>
      <c r="E28" s="8" t="s">
        <v>22</v>
      </c>
      <c r="F28" s="13" t="s">
        <v>85</v>
      </c>
      <c r="G28" s="8" t="s">
        <v>24</v>
      </c>
      <c r="H28" s="9"/>
      <c r="I28" s="26"/>
      <c r="J28" s="27"/>
      <c r="K28" s="9"/>
      <c r="L28" s="9"/>
      <c r="M28" s="9"/>
      <c r="N28" s="9"/>
      <c r="O28" s="9"/>
      <c r="P28" s="9"/>
    </row>
    <row r="29" spans="1:16" ht="21" customHeight="1" x14ac:dyDescent="0.3">
      <c r="A29" s="8">
        <v>25</v>
      </c>
      <c r="B29" s="10" t="s">
        <v>86</v>
      </c>
      <c r="C29" s="11" t="s">
        <v>87</v>
      </c>
      <c r="D29" s="12">
        <f t="shared" si="0"/>
        <v>1</v>
      </c>
      <c r="E29" s="8" t="s">
        <v>22</v>
      </c>
      <c r="F29" s="13" t="s">
        <v>88</v>
      </c>
      <c r="G29" s="8" t="s">
        <v>24</v>
      </c>
      <c r="H29" s="9"/>
      <c r="I29" s="26" t="s">
        <v>89</v>
      </c>
      <c r="J29" s="27"/>
      <c r="K29" s="9"/>
      <c r="L29" s="9"/>
      <c r="M29" s="9"/>
      <c r="N29" s="9"/>
      <c r="O29" s="9"/>
      <c r="P29" s="9"/>
    </row>
    <row r="30" spans="1:16" ht="21" customHeight="1" x14ac:dyDescent="0.3">
      <c r="A30" s="8">
        <v>26</v>
      </c>
      <c r="B30" s="14" t="s">
        <v>90</v>
      </c>
      <c r="C30" s="15" t="s">
        <v>91</v>
      </c>
      <c r="D30" s="12">
        <f t="shared" si="0"/>
        <v>2</v>
      </c>
      <c r="E30" s="16" t="s">
        <v>22</v>
      </c>
      <c r="F30" s="17" t="s">
        <v>92</v>
      </c>
      <c r="G30" s="16" t="s">
        <v>24</v>
      </c>
      <c r="H30" s="9"/>
      <c r="I30" s="26"/>
      <c r="J30" s="27"/>
      <c r="K30" s="9"/>
      <c r="L30" s="9"/>
      <c r="M30" s="9"/>
      <c r="N30" s="9"/>
      <c r="O30" s="9"/>
      <c r="P30" s="9"/>
    </row>
    <row r="31" spans="1:16" s="2" customFormat="1" ht="33.6" hidden="1" customHeight="1" x14ac:dyDescent="0.3">
      <c r="A31" s="8">
        <v>27</v>
      </c>
      <c r="B31" s="14" t="s">
        <v>93</v>
      </c>
      <c r="C31" s="11" t="s">
        <v>21</v>
      </c>
      <c r="D31" s="12">
        <f t="shared" si="0"/>
        <v>12</v>
      </c>
      <c r="E31" s="8" t="s">
        <v>22</v>
      </c>
      <c r="F31" s="13" t="s">
        <v>94</v>
      </c>
      <c r="G31" s="8" t="s">
        <v>24</v>
      </c>
      <c r="H31" s="26"/>
      <c r="I31" s="9"/>
      <c r="J31" s="27"/>
      <c r="K31" s="8"/>
      <c r="L31" s="8"/>
      <c r="M31" s="8"/>
      <c r="N31" s="29"/>
      <c r="O31" s="8"/>
      <c r="P31" s="8"/>
    </row>
    <row r="32" spans="1:16" s="2" customFormat="1" ht="21" hidden="1" customHeight="1" x14ac:dyDescent="0.3">
      <c r="A32" s="8">
        <v>28</v>
      </c>
      <c r="B32" s="14" t="s">
        <v>95</v>
      </c>
      <c r="C32" s="11" t="s">
        <v>21</v>
      </c>
      <c r="D32" s="12">
        <f t="shared" si="0"/>
        <v>7</v>
      </c>
      <c r="E32" s="8" t="s">
        <v>22</v>
      </c>
      <c r="F32" s="13" t="s">
        <v>96</v>
      </c>
      <c r="G32" s="8" t="s">
        <v>24</v>
      </c>
      <c r="H32" s="26"/>
      <c r="I32" s="9"/>
      <c r="J32" s="27"/>
      <c r="K32" s="8"/>
      <c r="L32" s="8"/>
      <c r="M32" s="8"/>
      <c r="N32" s="29"/>
      <c r="O32" s="8"/>
      <c r="P32" s="8"/>
    </row>
    <row r="33" spans="1:16" s="2" customFormat="1" ht="21" hidden="1" customHeight="1" x14ac:dyDescent="0.3">
      <c r="A33" s="8">
        <v>29</v>
      </c>
      <c r="B33" s="14" t="s">
        <v>97</v>
      </c>
      <c r="C33" s="11" t="s">
        <v>21</v>
      </c>
      <c r="D33" s="12">
        <f t="shared" si="0"/>
        <v>3</v>
      </c>
      <c r="E33" s="8" t="s">
        <v>22</v>
      </c>
      <c r="F33" s="13" t="s">
        <v>98</v>
      </c>
      <c r="G33" s="8" t="s">
        <v>24</v>
      </c>
      <c r="H33" s="26"/>
      <c r="I33" s="30" t="s">
        <v>99</v>
      </c>
      <c r="J33" s="27"/>
      <c r="K33" s="8"/>
      <c r="L33" s="8"/>
      <c r="M33" s="8"/>
      <c r="N33" s="29"/>
      <c r="O33" s="8"/>
      <c r="P33" s="8"/>
    </row>
    <row r="34" spans="1:16" s="2" customFormat="1" ht="21" hidden="1" customHeight="1" x14ac:dyDescent="0.3">
      <c r="A34" s="8">
        <v>30</v>
      </c>
      <c r="B34" s="14" t="s">
        <v>100</v>
      </c>
      <c r="C34" s="11" t="s">
        <v>21</v>
      </c>
      <c r="D34" s="12">
        <f t="shared" si="0"/>
        <v>8</v>
      </c>
      <c r="E34" s="8" t="s">
        <v>22</v>
      </c>
      <c r="F34" s="13" t="s">
        <v>101</v>
      </c>
      <c r="G34" s="8" t="s">
        <v>24</v>
      </c>
      <c r="H34" s="26"/>
      <c r="I34" s="30" t="s">
        <v>99</v>
      </c>
      <c r="J34" s="27"/>
      <c r="K34" s="8"/>
      <c r="L34" s="8"/>
      <c r="M34" s="8"/>
      <c r="N34" s="29"/>
      <c r="O34" s="8"/>
      <c r="P34" s="8"/>
    </row>
    <row r="35" spans="1:16" s="2" customFormat="1" ht="21" hidden="1" customHeight="1" x14ac:dyDescent="0.3">
      <c r="A35" s="8">
        <v>31</v>
      </c>
      <c r="B35" s="14" t="s">
        <v>102</v>
      </c>
      <c r="C35" s="11" t="s">
        <v>21</v>
      </c>
      <c r="D35" s="12">
        <f t="shared" si="0"/>
        <v>1</v>
      </c>
      <c r="E35" s="8" t="s">
        <v>22</v>
      </c>
      <c r="F35" s="13" t="s">
        <v>103</v>
      </c>
      <c r="G35" s="8" t="s">
        <v>24</v>
      </c>
      <c r="H35" s="26"/>
      <c r="I35" s="30" t="s">
        <v>99</v>
      </c>
      <c r="J35" s="27"/>
      <c r="K35" s="8"/>
      <c r="L35" s="8"/>
      <c r="M35" s="8"/>
      <c r="N35" s="29"/>
      <c r="O35" s="8"/>
      <c r="P35" s="8"/>
    </row>
    <row r="36" spans="1:16" s="2" customFormat="1" ht="21" hidden="1" customHeight="1" x14ac:dyDescent="0.3">
      <c r="A36" s="8">
        <v>32</v>
      </c>
      <c r="B36" s="14" t="s">
        <v>104</v>
      </c>
      <c r="C36" s="11" t="s">
        <v>21</v>
      </c>
      <c r="D36" s="12">
        <f t="shared" si="0"/>
        <v>2</v>
      </c>
      <c r="E36" s="8" t="s">
        <v>22</v>
      </c>
      <c r="F36" s="13" t="s">
        <v>105</v>
      </c>
      <c r="G36" s="8" t="s">
        <v>24</v>
      </c>
      <c r="H36" s="26"/>
      <c r="I36" s="30"/>
      <c r="J36" s="27"/>
      <c r="K36" s="8"/>
      <c r="L36" s="8"/>
      <c r="M36" s="8"/>
      <c r="N36" s="29"/>
      <c r="O36" s="8"/>
      <c r="P36" s="8"/>
    </row>
    <row r="37" spans="1:16" s="2" customFormat="1" ht="28.8" hidden="1" customHeight="1" x14ac:dyDescent="0.3">
      <c r="A37" s="8">
        <v>33</v>
      </c>
      <c r="B37" s="14" t="s">
        <v>106</v>
      </c>
      <c r="C37" s="11" t="s">
        <v>21</v>
      </c>
      <c r="D37" s="12">
        <f t="shared" si="0"/>
        <v>14</v>
      </c>
      <c r="E37" s="8" t="s">
        <v>22</v>
      </c>
      <c r="F37" s="13" t="s">
        <v>107</v>
      </c>
      <c r="G37" s="8" t="s">
        <v>24</v>
      </c>
      <c r="H37" s="26"/>
      <c r="I37" s="9"/>
      <c r="J37" s="27"/>
      <c r="K37" s="8"/>
      <c r="L37" s="8"/>
      <c r="M37" s="8"/>
      <c r="N37" s="29"/>
      <c r="O37" s="8"/>
      <c r="P37" s="8"/>
    </row>
    <row r="38" spans="1:16" s="2" customFormat="1" ht="28.8" hidden="1" customHeight="1" x14ac:dyDescent="0.3">
      <c r="A38" s="8">
        <v>34</v>
      </c>
      <c r="B38" s="14" t="s">
        <v>108</v>
      </c>
      <c r="C38" s="11" t="s">
        <v>21</v>
      </c>
      <c r="D38" s="12">
        <f t="shared" si="0"/>
        <v>3</v>
      </c>
      <c r="E38" s="8" t="s">
        <v>22</v>
      </c>
      <c r="F38" s="13" t="s">
        <v>109</v>
      </c>
      <c r="G38" s="8" t="s">
        <v>24</v>
      </c>
      <c r="H38" s="26"/>
      <c r="I38" s="9"/>
      <c r="J38" s="27"/>
      <c r="K38" s="8"/>
      <c r="L38" s="8"/>
      <c r="M38" s="8"/>
      <c r="N38" s="29"/>
      <c r="O38" s="8"/>
      <c r="P38" s="8"/>
    </row>
    <row r="39" spans="1:16" s="2" customFormat="1" ht="21" hidden="1" customHeight="1" x14ac:dyDescent="0.3">
      <c r="A39" s="8">
        <v>35</v>
      </c>
      <c r="B39" s="14" t="s">
        <v>110</v>
      </c>
      <c r="C39" s="11" t="s">
        <v>21</v>
      </c>
      <c r="D39" s="12">
        <f t="shared" si="0"/>
        <v>1</v>
      </c>
      <c r="E39" s="8" t="s">
        <v>22</v>
      </c>
      <c r="F39" s="13" t="s">
        <v>111</v>
      </c>
      <c r="G39" s="8" t="s">
        <v>24</v>
      </c>
      <c r="H39" s="26"/>
      <c r="I39" s="9"/>
      <c r="J39" s="27"/>
      <c r="K39" s="8"/>
      <c r="L39" s="8"/>
      <c r="M39" s="8"/>
      <c r="N39" s="29"/>
      <c r="O39" s="8"/>
      <c r="P39" s="8"/>
    </row>
    <row r="40" spans="1:16" s="2" customFormat="1" ht="21" customHeight="1" x14ac:dyDescent="0.3">
      <c r="A40" s="8">
        <v>36</v>
      </c>
      <c r="B40" s="14" t="s">
        <v>112</v>
      </c>
      <c r="C40" s="11"/>
      <c r="D40" s="12">
        <f t="shared" si="0"/>
        <v>2</v>
      </c>
      <c r="E40" s="8" t="s">
        <v>22</v>
      </c>
      <c r="F40" s="13" t="s">
        <v>113</v>
      </c>
      <c r="G40" s="8" t="s">
        <v>24</v>
      </c>
      <c r="H40" s="26"/>
      <c r="I40" s="9"/>
      <c r="J40" s="27"/>
      <c r="K40" s="8"/>
      <c r="L40" s="8"/>
      <c r="M40" s="8"/>
      <c r="N40" s="29"/>
      <c r="O40" s="8"/>
      <c r="P40" s="8"/>
    </row>
    <row r="41" spans="1:16" s="2" customFormat="1" ht="21" customHeight="1" x14ac:dyDescent="0.3">
      <c r="A41" s="8">
        <v>37</v>
      </c>
      <c r="B41" s="14" t="s">
        <v>114</v>
      </c>
      <c r="C41" s="11" t="s">
        <v>21</v>
      </c>
      <c r="D41" s="12">
        <f t="shared" si="0"/>
        <v>2</v>
      </c>
      <c r="E41" s="8" t="s">
        <v>22</v>
      </c>
      <c r="F41" s="13" t="s">
        <v>115</v>
      </c>
      <c r="G41" s="8" t="s">
        <v>24</v>
      </c>
      <c r="H41" s="26"/>
      <c r="I41" s="9"/>
      <c r="J41" s="27"/>
      <c r="K41" s="8"/>
      <c r="L41" s="8"/>
      <c r="M41" s="8"/>
      <c r="N41" s="29"/>
      <c r="O41" s="8"/>
      <c r="P41" s="8"/>
    </row>
    <row r="42" spans="1:16" s="2" customFormat="1" ht="21" customHeight="1" x14ac:dyDescent="0.3">
      <c r="A42" s="8">
        <v>38</v>
      </c>
      <c r="B42" s="14" t="s">
        <v>116</v>
      </c>
      <c r="C42" s="11" t="s">
        <v>79</v>
      </c>
      <c r="D42" s="12">
        <f t="shared" si="0"/>
        <v>1</v>
      </c>
      <c r="E42" s="8" t="s">
        <v>22</v>
      </c>
      <c r="F42" s="13" t="s">
        <v>117</v>
      </c>
      <c r="G42" s="8" t="s">
        <v>24</v>
      </c>
      <c r="H42" s="26"/>
      <c r="I42" s="9"/>
      <c r="J42" s="27"/>
      <c r="K42" s="8"/>
      <c r="L42" s="8"/>
      <c r="M42" s="8"/>
      <c r="N42" s="29"/>
      <c r="O42" s="8"/>
      <c r="P42" s="8"/>
    </row>
    <row r="43" spans="1:16" ht="21" customHeight="1" x14ac:dyDescent="0.3">
      <c r="A43" s="8">
        <v>39</v>
      </c>
      <c r="B43" s="14" t="s">
        <v>118</v>
      </c>
      <c r="C43" s="11" t="s">
        <v>79</v>
      </c>
      <c r="D43" s="12">
        <f t="shared" si="0"/>
        <v>1</v>
      </c>
      <c r="E43" s="8" t="s">
        <v>22</v>
      </c>
      <c r="F43" s="13" t="s">
        <v>119</v>
      </c>
      <c r="G43" s="9" t="s">
        <v>24</v>
      </c>
      <c r="H43" s="8"/>
      <c r="I43" s="26"/>
      <c r="J43" s="27"/>
      <c r="K43" s="9"/>
      <c r="L43" s="9"/>
      <c r="M43" s="9"/>
      <c r="N43" s="9"/>
      <c r="O43" s="9"/>
      <c r="P43" s="9"/>
    </row>
    <row r="44" spans="1:16" ht="21" customHeight="1" x14ac:dyDescent="0.3">
      <c r="A44" s="8">
        <v>40</v>
      </c>
      <c r="B44" s="14" t="s">
        <v>120</v>
      </c>
      <c r="C44" s="15" t="s">
        <v>121</v>
      </c>
      <c r="D44" s="12">
        <f t="shared" si="0"/>
        <v>2</v>
      </c>
      <c r="E44" s="16" t="s">
        <v>22</v>
      </c>
      <c r="F44" s="18" t="s">
        <v>122</v>
      </c>
      <c r="G44" s="16" t="s">
        <v>24</v>
      </c>
      <c r="H44" s="8"/>
      <c r="I44" s="26"/>
      <c r="J44" s="27"/>
      <c r="K44" s="9"/>
      <c r="L44" s="9"/>
      <c r="M44" s="9"/>
      <c r="N44" s="9"/>
      <c r="O44" s="9"/>
      <c r="P44" s="9"/>
    </row>
    <row r="45" spans="1:16" ht="21" customHeight="1" x14ac:dyDescent="0.3">
      <c r="A45" s="8">
        <v>41</v>
      </c>
      <c r="B45" s="14" t="s">
        <v>123</v>
      </c>
      <c r="C45" s="15" t="s">
        <v>121</v>
      </c>
      <c r="D45" s="12">
        <f t="shared" si="0"/>
        <v>1</v>
      </c>
      <c r="E45" s="16" t="s">
        <v>22</v>
      </c>
      <c r="F45" s="18" t="s">
        <v>124</v>
      </c>
      <c r="G45" s="16" t="s">
        <v>24</v>
      </c>
      <c r="H45" s="8"/>
      <c r="I45" s="26"/>
      <c r="J45" s="27"/>
      <c r="K45" s="9"/>
      <c r="L45" s="9"/>
      <c r="M45" s="9"/>
      <c r="N45" s="9"/>
      <c r="O45" s="9"/>
      <c r="P45" s="9"/>
    </row>
    <row r="46" spans="1:16" ht="21" customHeight="1" x14ac:dyDescent="0.3">
      <c r="A46" s="8">
        <v>42</v>
      </c>
      <c r="B46" s="14" t="s">
        <v>125</v>
      </c>
      <c r="C46" s="11"/>
      <c r="D46" s="12">
        <f t="shared" si="0"/>
        <v>1</v>
      </c>
      <c r="E46" s="8" t="s">
        <v>22</v>
      </c>
      <c r="F46" s="21" t="s">
        <v>126</v>
      </c>
      <c r="G46" s="16" t="s">
        <v>24</v>
      </c>
      <c r="H46" s="26"/>
      <c r="I46" s="9"/>
      <c r="J46" s="27"/>
      <c r="K46" s="9"/>
      <c r="L46" s="9"/>
      <c r="M46" s="9"/>
      <c r="N46" s="9"/>
      <c r="O46" s="9"/>
      <c r="P46" s="9"/>
    </row>
    <row r="47" spans="1:16" ht="21" customHeight="1" x14ac:dyDescent="0.3">
      <c r="A47" s="8">
        <v>44</v>
      </c>
      <c r="B47" s="10" t="s">
        <v>127</v>
      </c>
      <c r="C47" s="9"/>
      <c r="D47" s="12">
        <f t="shared" si="0"/>
        <v>1</v>
      </c>
      <c r="E47" s="8" t="s">
        <v>22</v>
      </c>
      <c r="F47" s="13"/>
      <c r="G47" s="9" t="s">
        <v>38</v>
      </c>
      <c r="H47" s="26"/>
      <c r="I47" s="26" t="s">
        <v>128</v>
      </c>
      <c r="J47" s="31"/>
    </row>
    <row r="48" spans="1:16" ht="21" customHeight="1" x14ac:dyDescent="0.3">
      <c r="A48" s="8">
        <v>45</v>
      </c>
      <c r="B48" s="10" t="s">
        <v>129</v>
      </c>
      <c r="C48" s="9"/>
      <c r="D48" s="12">
        <f t="shared" si="0"/>
        <v>1</v>
      </c>
      <c r="E48" s="8" t="s">
        <v>22</v>
      </c>
      <c r="F48" s="13"/>
      <c r="G48" s="9" t="s">
        <v>38</v>
      </c>
      <c r="H48" s="26"/>
      <c r="I48" s="26"/>
      <c r="J48" s="31"/>
    </row>
    <row r="49" spans="1:10" ht="21" customHeight="1" x14ac:dyDescent="0.3">
      <c r="A49" s="8">
        <v>46</v>
      </c>
      <c r="B49" s="14" t="s">
        <v>130</v>
      </c>
      <c r="C49" s="11"/>
      <c r="D49" s="12">
        <f t="shared" si="0"/>
        <v>1</v>
      </c>
      <c r="E49" s="8" t="s">
        <v>22</v>
      </c>
      <c r="F49" s="21" t="s">
        <v>131</v>
      </c>
      <c r="G49" s="8" t="s">
        <v>24</v>
      </c>
      <c r="H49" s="26"/>
      <c r="I49" s="26"/>
      <c r="J49" s="31"/>
    </row>
    <row r="50" spans="1:10" ht="21" customHeight="1" x14ac:dyDescent="0.3">
      <c r="A50" s="8">
        <v>47</v>
      </c>
      <c r="B50" s="10" t="s">
        <v>132</v>
      </c>
      <c r="C50" s="9"/>
      <c r="D50" s="12">
        <f t="shared" si="0"/>
        <v>1</v>
      </c>
      <c r="E50" s="16" t="s">
        <v>22</v>
      </c>
      <c r="F50" s="18" t="s">
        <v>133</v>
      </c>
      <c r="G50" s="16" t="s">
        <v>24</v>
      </c>
      <c r="H50" s="26"/>
      <c r="I50" s="26"/>
      <c r="J50" s="31"/>
    </row>
    <row r="51" spans="1:10" ht="21" customHeight="1" x14ac:dyDescent="0.3">
      <c r="A51" s="8">
        <v>48</v>
      </c>
      <c r="B51" s="20" t="s">
        <v>134</v>
      </c>
      <c r="C51" s="9"/>
      <c r="D51" s="12">
        <f t="shared" si="0"/>
        <v>1</v>
      </c>
      <c r="E51" s="8" t="s">
        <v>22</v>
      </c>
      <c r="F51" s="18"/>
      <c r="G51" s="16"/>
      <c r="H51" s="26"/>
      <c r="I51" s="26"/>
      <c r="J51" s="31"/>
    </row>
    <row r="52" spans="1:10" ht="21" customHeight="1" x14ac:dyDescent="0.3">
      <c r="A52" s="8">
        <v>49</v>
      </c>
      <c r="B52" s="20" t="s">
        <v>135</v>
      </c>
      <c r="C52" s="9"/>
      <c r="D52" s="12">
        <f t="shared" si="0"/>
        <v>4</v>
      </c>
      <c r="E52" s="8" t="s">
        <v>22</v>
      </c>
      <c r="F52" s="13" t="s">
        <v>136</v>
      </c>
      <c r="G52" s="9"/>
      <c r="H52" s="26"/>
      <c r="I52" s="26"/>
      <c r="J52" s="31"/>
    </row>
    <row r="53" spans="1:10" ht="21" customHeight="1" x14ac:dyDescent="0.3">
      <c r="A53" s="8">
        <v>50</v>
      </c>
      <c r="B53" s="10" t="s">
        <v>137</v>
      </c>
      <c r="C53" s="9"/>
      <c r="D53" s="12">
        <f t="shared" si="0"/>
        <v>1</v>
      </c>
      <c r="E53" s="8" t="s">
        <v>22</v>
      </c>
      <c r="F53" s="21" t="s">
        <v>138</v>
      </c>
      <c r="G53" s="9" t="s">
        <v>38</v>
      </c>
      <c r="H53" s="24"/>
      <c r="I53" s="24"/>
      <c r="J53" s="31"/>
    </row>
    <row r="54" spans="1:10" ht="21" customHeight="1" x14ac:dyDescent="0.3">
      <c r="A54" s="8">
        <v>51</v>
      </c>
      <c r="B54" s="20" t="s">
        <v>139</v>
      </c>
      <c r="C54" s="9"/>
      <c r="D54" s="12">
        <f t="shared" si="0"/>
        <v>1</v>
      </c>
      <c r="E54" s="8" t="s">
        <v>22</v>
      </c>
      <c r="F54" s="21"/>
      <c r="G54" s="9" t="s">
        <v>38</v>
      </c>
      <c r="H54" s="26"/>
      <c r="I54" s="24" t="s">
        <v>140</v>
      </c>
      <c r="J54" s="31"/>
    </row>
    <row r="55" spans="1:10" ht="44" customHeight="1" x14ac:dyDescent="0.3"/>
    <row r="56" spans="1:10" x14ac:dyDescent="0.3">
      <c r="B56" s="22" t="s">
        <v>141</v>
      </c>
    </row>
    <row r="57" spans="1:10" x14ac:dyDescent="0.3">
      <c r="B57" s="23"/>
    </row>
    <row r="58" spans="1:10" x14ac:dyDescent="0.3">
      <c r="B58" s="23"/>
    </row>
  </sheetData>
  <mergeCells count="1">
    <mergeCell ref="A1:P1"/>
  </mergeCells>
  <phoneticPr fontId="7" type="noConversion"/>
  <dataValidations count="1">
    <dataValidation type="list" allowBlank="1" showInputMessage="1" showErrorMessage="1" sqref="G4:G65548" xr:uid="{00000000-0002-0000-0000-000000000000}">
      <formula1>#REF!</formula1>
    </dataValidation>
  </dataValidation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makerfabs001</dc:creator>
  <cp:lastModifiedBy>gang luo</cp:lastModifiedBy>
  <dcterms:created xsi:type="dcterms:W3CDTF">2006-09-16T00:00:00Z</dcterms:created>
  <dcterms:modified xsi:type="dcterms:W3CDTF">2026-04-03T00:54:39Z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DA6AAD474AEF476881937B13849DA160_13</vt:lpwstr>
  </property>
</Properties>
</file>